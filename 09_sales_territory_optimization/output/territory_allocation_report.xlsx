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timized Allocation" sheetId="2" state="visible" r:id="rId2"/>
    <sheet name="Territory KPIs" sheetId="3" state="visible" r:id="rId3"/>
    <sheet name="Rep KPIs" sheetId="4" state="visible" r:id="rId4"/>
    <sheet name="Baseline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$#,##0"/>
    <numFmt numFmtId="166" formatCode="0.0&quot;%&quot;"/>
    <numFmt numFmtId="167" formatCode="+0.0%;-0.0%"/>
    <numFmt numFmtId="168" formatCode="+0.0&quot;%&quot;;-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Potential vs Achieved Revenue by Territory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'Territory KPIs'!H3</f>
            </strRef>
          </tx>
          <spPr>
            <a:ln>
              <a:prstDash val="solid"/>
            </a:ln>
          </spPr>
          <cat>
            <numRef>
              <f>'Territory KPIs'!$A$4:$A$23</f>
            </numRef>
          </cat>
          <val>
            <numRef>
              <f>'Territory KPIs'!$H$4:$H$23</f>
            </numRef>
          </val>
        </ser>
        <ser>
          <idx val="1"/>
          <order val="1"/>
          <tx>
            <strRef>
              <f>'Territory KPIs'!I3</f>
            </strRef>
          </tx>
          <spPr>
            <a:ln>
              <a:prstDash val="solid"/>
            </a:ln>
          </spPr>
          <cat>
            <numRef>
              <f>'Territory KPIs'!$A$4:$A$23</f>
            </numRef>
          </cat>
          <val>
            <numRef>
              <f>'Territory KPIs'!$I$4:$I$23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Territory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Sales Force Optimization &amp; Territory Allocation Model</t>
        </is>
      </c>
    </row>
    <row r="2">
      <c r="A2" s="2" t="inlineStr">
        <is>
          <t>LP-optimized rep-to-territory allocation vs. baseline manual allocation</t>
        </is>
      </c>
    </row>
    <row r="4">
      <c r="A4" s="3" t="inlineStr">
        <is>
          <t>Number of Reps</t>
        </is>
      </c>
      <c r="B4" t="n">
        <v>28</v>
      </c>
    </row>
    <row r="5">
      <c r="A5" s="3" t="inlineStr">
        <is>
          <t>Number of Territories</t>
        </is>
      </c>
      <c r="B5" t="n">
        <v>20</v>
      </c>
    </row>
    <row r="6">
      <c r="A6" s="3" t="inlineStr">
        <is>
          <t>Optional Budget Cap</t>
        </is>
      </c>
      <c r="B6" t="inlineStr">
        <is>
          <t>None</t>
        </is>
      </c>
    </row>
    <row r="7">
      <c r="A7" s="3" t="inlineStr"/>
      <c r="B7" t="inlineStr"/>
    </row>
    <row r="8">
      <c r="A8" s="3" t="inlineStr">
        <is>
          <t>Optimized Total Revenue</t>
        </is>
      </c>
      <c r="B8" t="inlineStr">
        <is>
          <t>$7,646,016.86</t>
        </is>
      </c>
    </row>
    <row r="9">
      <c r="A9" s="3" t="inlineStr">
        <is>
          <t>Optimized Total Cost</t>
        </is>
      </c>
      <c r="B9" t="inlineStr">
        <is>
          <t>$2,054,029.28</t>
        </is>
      </c>
    </row>
    <row r="10">
      <c r="A10" s="3" t="inlineStr">
        <is>
          <t>Optimized Net Revenue</t>
        </is>
      </c>
      <c r="B10" t="inlineStr">
        <is>
          <t>$5,591,987.58</t>
        </is>
      </c>
    </row>
    <row r="11">
      <c r="A11" s="3" t="inlineStr"/>
      <c r="B11" t="inlineStr"/>
    </row>
    <row r="12">
      <c r="A12" s="3" t="inlineStr">
        <is>
          <t>Baseline (Status Quo) Total Revenue</t>
        </is>
      </c>
      <c r="B12" t="inlineStr">
        <is>
          <t>$4,658,009.44</t>
        </is>
      </c>
    </row>
    <row r="13">
      <c r="A13" s="3" t="inlineStr">
        <is>
          <t>Baseline (Status Quo) Total Cost</t>
        </is>
      </c>
      <c r="B13" t="inlineStr">
        <is>
          <t>$2,054,029.28</t>
        </is>
      </c>
    </row>
    <row r="14">
      <c r="A14" s="3" t="inlineStr">
        <is>
          <t>Baseline (Status Quo) Net Revenue</t>
        </is>
      </c>
      <c r="B14" t="inlineStr">
        <is>
          <t>$2,603,980.15</t>
        </is>
      </c>
    </row>
    <row r="15">
      <c r="A15" s="3" t="inlineStr"/>
      <c r="B15" t="inlineStr"/>
    </row>
    <row r="16">
      <c r="A16" s="3" t="inlineStr">
        <is>
          <t>Net Revenue Improvement vs. Baseline</t>
        </is>
      </c>
      <c r="B16" t="inlineStr">
        <is>
          <t>+114.7%</t>
        </is>
      </c>
    </row>
    <row r="17">
      <c r="A17" s="3" t="inlineStr">
        <is>
          <t>Avg Territory Coverage (Optimized)</t>
        </is>
      </c>
      <c r="B17" t="inlineStr">
        <is>
          <t>82.8%</t>
        </is>
      </c>
    </row>
    <row r="18">
      <c r="A18" s="3" t="inlineStr">
        <is>
          <t>Avg Rep Utilization (Optimized)</t>
        </is>
      </c>
      <c r="B18" t="inlineStr">
        <is>
          <t>100.0%</t>
        </is>
      </c>
    </row>
    <row r="19">
      <c r="A19" s="3" t="inlineStr">
        <is>
          <t>Territories Meeting Min. Coverage (Optimized)</t>
        </is>
      </c>
      <c r="B19" t="inlineStr">
        <is>
          <t>20 / 20</t>
        </is>
      </c>
    </row>
    <row r="20">
      <c r="A20" s="3" t="inlineStr">
        <is>
          <t>Territories Meeting Min. Coverage (Baseline)</t>
        </is>
      </c>
      <c r="B20" t="inlineStr">
        <is>
          <t>8 / 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9" customWidth="1" min="4" max="4"/>
    <col width="15" customWidth="1" min="5" max="5"/>
    <col width="24" customWidth="1" min="6" max="6"/>
    <col width="19" customWidth="1" min="7" max="7"/>
  </cols>
  <sheetData>
    <row r="1">
      <c r="A1" s="1" t="inlineStr">
        <is>
          <t>Optimized Rep -&gt; Territory Allocation</t>
        </is>
      </c>
    </row>
    <row r="2">
      <c r="A2" s="2" t="inlineStr">
        <is>
          <t>Continuous LP solution: allocated_fte is the fraction of a rep's capacity assigned to a territory.</t>
        </is>
      </c>
    </row>
    <row r="4">
      <c r="A4" s="4" t="inlineStr">
        <is>
          <t>rep_id</t>
        </is>
      </c>
      <c r="B4" s="4" t="inlineStr">
        <is>
          <t>rep_name</t>
        </is>
      </c>
      <c r="C4" s="4" t="inlineStr">
        <is>
          <t>territory_id</t>
        </is>
      </c>
      <c r="D4" s="4" t="inlineStr">
        <is>
          <t>territory_name</t>
        </is>
      </c>
      <c r="E4" s="4" t="inlineStr">
        <is>
          <t>allocated_fte</t>
        </is>
      </c>
      <c r="F4" s="4" t="inlineStr">
        <is>
          <t>effective_fte_supplied</t>
        </is>
      </c>
      <c r="G4" s="4" t="inlineStr">
        <is>
          <t>cost_contribution</t>
        </is>
      </c>
    </row>
    <row r="5">
      <c r="A5" t="inlineStr">
        <is>
          <t>R001</t>
        </is>
      </c>
      <c r="B5" t="inlineStr">
        <is>
          <t>Riley Young</t>
        </is>
      </c>
      <c r="C5" t="inlineStr">
        <is>
          <t>T015</t>
        </is>
      </c>
      <c r="D5" t="inlineStr">
        <is>
          <t>Valley Sector 2</t>
        </is>
      </c>
      <c r="E5" s="5" t="n">
        <v>0.1883</v>
      </c>
      <c r="F5" s="5" t="n">
        <v>0.1446</v>
      </c>
      <c r="G5" s="6" t="n">
        <v>11602.53</v>
      </c>
    </row>
    <row r="6">
      <c r="A6" t="inlineStr">
        <is>
          <t>R001</t>
        </is>
      </c>
      <c r="B6" t="inlineStr">
        <is>
          <t>Riley Young</t>
        </is>
      </c>
      <c r="C6" t="inlineStr">
        <is>
          <t>T018</t>
        </is>
      </c>
      <c r="D6" t="inlineStr">
        <is>
          <t>Coastal Sector</t>
        </is>
      </c>
      <c r="E6" s="5" t="n">
        <v>0.8117</v>
      </c>
      <c r="F6" s="5" t="n">
        <v>0.6234</v>
      </c>
      <c r="G6" s="6" t="n">
        <v>50020.88</v>
      </c>
    </row>
    <row r="7">
      <c r="A7" t="inlineStr">
        <is>
          <t>R002</t>
        </is>
      </c>
      <c r="B7" t="inlineStr">
        <is>
          <t>Finley Smith</t>
        </is>
      </c>
      <c r="C7" t="inlineStr">
        <is>
          <t>T005</t>
        </is>
      </c>
      <c r="D7" t="inlineStr">
        <is>
          <t>North Area</t>
        </is>
      </c>
      <c r="E7" s="5" t="n">
        <v>0.8611</v>
      </c>
      <c r="F7" s="5" t="n">
        <v>0.868</v>
      </c>
      <c r="G7" s="6" t="n">
        <v>68530.37</v>
      </c>
    </row>
    <row r="8">
      <c r="A8" t="inlineStr">
        <is>
          <t>R002</t>
        </is>
      </c>
      <c r="B8" t="inlineStr">
        <is>
          <t>Finley Smith</t>
        </is>
      </c>
      <c r="C8" t="inlineStr">
        <is>
          <t>T010</t>
        </is>
      </c>
      <c r="D8" t="inlineStr">
        <is>
          <t>Coastal Basin 2</t>
        </is>
      </c>
      <c r="E8" s="5" t="n">
        <v>0.1389</v>
      </c>
      <c r="F8" s="5" t="n">
        <v>0.14</v>
      </c>
      <c r="G8" s="6" t="n">
        <v>11053.29</v>
      </c>
    </row>
    <row r="9">
      <c r="A9" t="inlineStr">
        <is>
          <t>R003</t>
        </is>
      </c>
      <c r="B9" t="inlineStr">
        <is>
          <t>Shawn Johnson</t>
        </is>
      </c>
      <c r="C9" t="inlineStr">
        <is>
          <t>T016</t>
        </is>
      </c>
      <c r="D9" t="inlineStr">
        <is>
          <t>Bay District 2</t>
        </is>
      </c>
      <c r="E9" s="5" t="n">
        <v>0.9351</v>
      </c>
      <c r="F9" s="5" t="n">
        <v>0.663</v>
      </c>
      <c r="G9" s="6" t="n">
        <v>50667.98</v>
      </c>
    </row>
    <row r="10">
      <c r="A10" t="inlineStr">
        <is>
          <t>R003</t>
        </is>
      </c>
      <c r="B10" t="inlineStr">
        <is>
          <t>Shawn Johnson</t>
        </is>
      </c>
      <c r="C10" t="inlineStr">
        <is>
          <t>T018</t>
        </is>
      </c>
      <c r="D10" t="inlineStr">
        <is>
          <t>Coastal Sector</t>
        </is>
      </c>
      <c r="E10" s="5" t="n">
        <v>0.0649</v>
      </c>
      <c r="F10" s="5" t="n">
        <v>0.046</v>
      </c>
      <c r="G10" s="6" t="n">
        <v>3515.43</v>
      </c>
    </row>
    <row r="11">
      <c r="A11" t="inlineStr">
        <is>
          <t>R004</t>
        </is>
      </c>
      <c r="B11" t="inlineStr">
        <is>
          <t>Cameron Thomas</t>
        </is>
      </c>
      <c r="C11" t="inlineStr">
        <is>
          <t>T013</t>
        </is>
      </c>
      <c r="D11" t="inlineStr">
        <is>
          <t>Bay District</t>
        </is>
      </c>
      <c r="E11" s="5" t="n">
        <v>1</v>
      </c>
      <c r="F11" s="5" t="n">
        <v>1.026</v>
      </c>
      <c r="G11" s="6" t="n">
        <v>75710.84</v>
      </c>
    </row>
    <row r="12">
      <c r="A12" t="inlineStr">
        <is>
          <t>R005</t>
        </is>
      </c>
      <c r="B12" t="inlineStr">
        <is>
          <t>Shawn Johnson 2</t>
        </is>
      </c>
      <c r="C12" t="inlineStr">
        <is>
          <t>T003</t>
        </is>
      </c>
      <c r="D12" t="inlineStr">
        <is>
          <t>West Region</t>
        </is>
      </c>
      <c r="E12" s="5" t="n">
        <v>0.7211</v>
      </c>
      <c r="F12" s="5" t="n">
        <v>0.543</v>
      </c>
      <c r="G12" s="6" t="n">
        <v>40490.16</v>
      </c>
    </row>
    <row r="13">
      <c r="A13" t="inlineStr">
        <is>
          <t>R005</t>
        </is>
      </c>
      <c r="B13" t="inlineStr">
        <is>
          <t>Shawn Johnson 2</t>
        </is>
      </c>
      <c r="C13" t="inlineStr">
        <is>
          <t>T006</t>
        </is>
      </c>
      <c r="D13" t="inlineStr">
        <is>
          <t>Lakeside Belt</t>
        </is>
      </c>
      <c r="E13" s="5" t="n">
        <v>0.2789</v>
      </c>
      <c r="F13" s="5" t="n">
        <v>0.21</v>
      </c>
      <c r="G13" s="6" t="n">
        <v>15659.18</v>
      </c>
    </row>
    <row r="14">
      <c r="A14" t="inlineStr">
        <is>
          <t>R006</t>
        </is>
      </c>
      <c r="B14" t="inlineStr">
        <is>
          <t>Quinn Davis</t>
        </is>
      </c>
      <c r="C14" t="inlineStr">
        <is>
          <t>T014</t>
        </is>
      </c>
      <c r="D14" t="inlineStr">
        <is>
          <t>Bay Territory</t>
        </is>
      </c>
      <c r="E14" s="5" t="n">
        <v>0.9457</v>
      </c>
      <c r="F14" s="5" t="n">
        <v>1.027</v>
      </c>
      <c r="G14" s="6" t="n">
        <v>73148.07000000001</v>
      </c>
    </row>
    <row r="15">
      <c r="A15" t="inlineStr">
        <is>
          <t>R006</t>
        </is>
      </c>
      <c r="B15" t="inlineStr">
        <is>
          <t>Quinn Davis</t>
        </is>
      </c>
      <c r="C15" t="inlineStr">
        <is>
          <t>T019</t>
        </is>
      </c>
      <c r="D15" t="inlineStr">
        <is>
          <t>Lakeside Zone</t>
        </is>
      </c>
      <c r="E15" s="5" t="n">
        <v>0.0543</v>
      </c>
      <c r="F15" s="5" t="n">
        <v>0.059</v>
      </c>
      <c r="G15" s="6" t="n">
        <v>4202.27</v>
      </c>
    </row>
    <row r="16">
      <c r="A16" t="inlineStr">
        <is>
          <t>R007</t>
        </is>
      </c>
      <c r="B16" t="inlineStr">
        <is>
          <t>Harper Harris</t>
        </is>
      </c>
      <c r="C16" t="inlineStr">
        <is>
          <t>T018</t>
        </is>
      </c>
      <c r="D16" t="inlineStr">
        <is>
          <t>Coastal Sector</t>
        </is>
      </c>
      <c r="E16" s="5" t="n">
        <v>0.5881999999999999</v>
      </c>
      <c r="F16" s="5" t="n">
        <v>0.5906</v>
      </c>
      <c r="G16" s="6" t="n">
        <v>48343.46</v>
      </c>
    </row>
    <row r="17">
      <c r="A17" t="inlineStr">
        <is>
          <t>R007</t>
        </is>
      </c>
      <c r="B17" t="inlineStr">
        <is>
          <t>Harper Harris</t>
        </is>
      </c>
      <c r="C17" t="inlineStr">
        <is>
          <t>T019</t>
        </is>
      </c>
      <c r="D17" t="inlineStr">
        <is>
          <t>Lakeside Zone</t>
        </is>
      </c>
      <c r="E17" s="5" t="n">
        <v>0.4118</v>
      </c>
      <c r="F17" s="5" t="n">
        <v>0.4134</v>
      </c>
      <c r="G17" s="6" t="n">
        <v>33838.78</v>
      </c>
    </row>
    <row r="18">
      <c r="A18" t="inlineStr">
        <is>
          <t>R008</t>
        </is>
      </c>
      <c r="B18" t="inlineStr">
        <is>
          <t>Sage Kim</t>
        </is>
      </c>
      <c r="C18" t="inlineStr">
        <is>
          <t>T001</t>
        </is>
      </c>
      <c r="D18" t="inlineStr">
        <is>
          <t>Coastal Territory</t>
        </is>
      </c>
      <c r="E18" s="5" t="n">
        <v>0.7047</v>
      </c>
      <c r="F18" s="5" t="n">
        <v>0.995</v>
      </c>
      <c r="G18" s="6" t="n">
        <v>78495.47</v>
      </c>
    </row>
    <row r="19">
      <c r="A19" t="inlineStr">
        <is>
          <t>R008</t>
        </is>
      </c>
      <c r="B19" t="inlineStr">
        <is>
          <t>Sage Kim</t>
        </is>
      </c>
      <c r="C19" t="inlineStr">
        <is>
          <t>T010</t>
        </is>
      </c>
      <c r="D19" t="inlineStr">
        <is>
          <t>Coastal Basin 2</t>
        </is>
      </c>
      <c r="E19" s="5" t="n">
        <v>0.2953</v>
      </c>
      <c r="F19" s="5" t="n">
        <v>0.417</v>
      </c>
      <c r="G19" s="6" t="n">
        <v>32897.09</v>
      </c>
    </row>
    <row r="20">
      <c r="A20" t="inlineStr">
        <is>
          <t>R009</t>
        </is>
      </c>
      <c r="B20" t="inlineStr">
        <is>
          <t>Charlie Clark</t>
        </is>
      </c>
      <c r="C20" t="inlineStr">
        <is>
          <t>T013</t>
        </is>
      </c>
      <c r="D20" t="inlineStr">
        <is>
          <t>Bay District</t>
        </is>
      </c>
      <c r="E20" s="5" t="n">
        <v>0.75</v>
      </c>
      <c r="F20" s="5" t="n">
        <v>0.5745</v>
      </c>
      <c r="G20" s="6" t="n">
        <v>43667.21</v>
      </c>
    </row>
    <row r="21">
      <c r="A21" t="inlineStr">
        <is>
          <t>R010</t>
        </is>
      </c>
      <c r="B21" t="inlineStr">
        <is>
          <t>Avery Garcia</t>
        </is>
      </c>
      <c r="C21" t="inlineStr">
        <is>
          <t>T006</t>
        </is>
      </c>
      <c r="D21" t="inlineStr">
        <is>
          <t>Lakeside Belt</t>
        </is>
      </c>
      <c r="E21" s="5" t="n">
        <v>0.127</v>
      </c>
      <c r="F21" s="5" t="n">
        <v>0.1757</v>
      </c>
      <c r="G21" s="6" t="n">
        <v>13579.82</v>
      </c>
    </row>
    <row r="22">
      <c r="A22" t="inlineStr">
        <is>
          <t>R010</t>
        </is>
      </c>
      <c r="B22" t="inlineStr">
        <is>
          <t>Avery Garcia</t>
        </is>
      </c>
      <c r="C22" t="inlineStr">
        <is>
          <t>T008</t>
        </is>
      </c>
      <c r="D22" t="inlineStr">
        <is>
          <t>Valley Sector</t>
        </is>
      </c>
      <c r="E22" s="5" t="n">
        <v>0.4081</v>
      </c>
      <c r="F22" s="5" t="n">
        <v>0.5648</v>
      </c>
      <c r="G22" s="6" t="n">
        <v>43649.42</v>
      </c>
    </row>
    <row r="23">
      <c r="A23" t="inlineStr">
        <is>
          <t>R010</t>
        </is>
      </c>
      <c r="B23" t="inlineStr">
        <is>
          <t>Avery Garcia</t>
        </is>
      </c>
      <c r="C23" t="inlineStr">
        <is>
          <t>T019</t>
        </is>
      </c>
      <c r="D23" t="inlineStr">
        <is>
          <t>Lakeside Zone</t>
        </is>
      </c>
      <c r="E23" s="5" t="n">
        <v>0.215</v>
      </c>
      <c r="F23" s="5" t="n">
        <v>0.2975</v>
      </c>
      <c r="G23" s="6" t="n">
        <v>22997.58</v>
      </c>
    </row>
    <row r="24">
      <c r="A24" t="inlineStr">
        <is>
          <t>R011</t>
        </is>
      </c>
      <c r="B24" t="inlineStr">
        <is>
          <t>Finley Johnson</t>
        </is>
      </c>
      <c r="C24" t="inlineStr">
        <is>
          <t>T016</t>
        </is>
      </c>
      <c r="D24" t="inlineStr">
        <is>
          <t>Bay District 2</t>
        </is>
      </c>
      <c r="E24" s="5" t="n">
        <v>1</v>
      </c>
      <c r="F24" s="5" t="n">
        <v>0.8</v>
      </c>
      <c r="G24" s="6" t="n">
        <v>49131.82</v>
      </c>
    </row>
    <row r="25">
      <c r="A25" t="inlineStr">
        <is>
          <t>R012</t>
        </is>
      </c>
      <c r="B25" t="inlineStr">
        <is>
          <t>Adrian Martin</t>
        </is>
      </c>
      <c r="C25" t="inlineStr">
        <is>
          <t>T003</t>
        </is>
      </c>
      <c r="D25" t="inlineStr">
        <is>
          <t>West Region</t>
        </is>
      </c>
      <c r="E25" s="5" t="n">
        <v>1</v>
      </c>
      <c r="F25" s="5" t="n">
        <v>0.777</v>
      </c>
      <c r="G25" s="6" t="n">
        <v>63516.99</v>
      </c>
    </row>
    <row r="26">
      <c r="A26" t="inlineStr">
        <is>
          <t>R013</t>
        </is>
      </c>
      <c r="B26" t="inlineStr">
        <is>
          <t>Alex Young</t>
        </is>
      </c>
      <c r="C26" t="inlineStr">
        <is>
          <t>T002</t>
        </is>
      </c>
      <c r="D26" t="inlineStr">
        <is>
          <t>Bay Corridor</t>
        </is>
      </c>
      <c r="E26" s="5" t="n">
        <v>1</v>
      </c>
      <c r="F26" s="5" t="n">
        <v>1.147</v>
      </c>
      <c r="G26" s="6" t="n">
        <v>80050.31</v>
      </c>
    </row>
    <row r="27">
      <c r="A27" t="inlineStr">
        <is>
          <t>R014</t>
        </is>
      </c>
      <c r="B27" t="inlineStr">
        <is>
          <t>Remy Johnson</t>
        </is>
      </c>
      <c r="C27" t="inlineStr">
        <is>
          <t>T011</t>
        </is>
      </c>
      <c r="D27" t="inlineStr">
        <is>
          <t>South Basin</t>
        </is>
      </c>
      <c r="E27" s="5" t="n">
        <v>0.872</v>
      </c>
      <c r="F27" s="5" t="n">
        <v>0.9347</v>
      </c>
      <c r="G27" s="6" t="n">
        <v>70466.25</v>
      </c>
    </row>
    <row r="28">
      <c r="A28" t="inlineStr">
        <is>
          <t>R014</t>
        </is>
      </c>
      <c r="B28" t="inlineStr">
        <is>
          <t>Remy Johnson</t>
        </is>
      </c>
      <c r="C28" t="inlineStr">
        <is>
          <t>T019</t>
        </is>
      </c>
      <c r="D28" t="inlineStr">
        <is>
          <t>Lakeside Zone</t>
        </is>
      </c>
      <c r="E28" s="5" t="n">
        <v>0.128</v>
      </c>
      <c r="F28" s="5" t="n">
        <v>0.1373</v>
      </c>
      <c r="G28" s="6" t="n">
        <v>10346.61</v>
      </c>
    </row>
    <row r="29">
      <c r="A29" t="inlineStr">
        <is>
          <t>R015</t>
        </is>
      </c>
      <c r="B29" t="inlineStr">
        <is>
          <t>Sawyer Martinez</t>
        </is>
      </c>
      <c r="C29" t="inlineStr">
        <is>
          <t>T012</t>
        </is>
      </c>
      <c r="D29" t="inlineStr">
        <is>
          <t>River Zone</t>
        </is>
      </c>
      <c r="E29" s="5" t="n">
        <v>1</v>
      </c>
      <c r="F29" s="5" t="n">
        <v>1.365</v>
      </c>
      <c r="G29" s="6" t="n">
        <v>121347.65</v>
      </c>
    </row>
    <row r="30">
      <c r="A30" t="inlineStr">
        <is>
          <t>R016</t>
        </is>
      </c>
      <c r="B30" t="inlineStr">
        <is>
          <t>Shawn Green</t>
        </is>
      </c>
      <c r="C30" t="inlineStr">
        <is>
          <t>T010</t>
        </is>
      </c>
      <c r="D30" t="inlineStr">
        <is>
          <t>Coastal Basin 2</t>
        </is>
      </c>
      <c r="E30" s="5" t="n">
        <v>0.3818</v>
      </c>
      <c r="F30" s="5" t="n">
        <v>0.5266</v>
      </c>
      <c r="G30" s="6" t="n">
        <v>47622.52</v>
      </c>
    </row>
    <row r="31">
      <c r="A31" t="inlineStr">
        <is>
          <t>R016</t>
        </is>
      </c>
      <c r="B31" t="inlineStr">
        <is>
          <t>Shawn Green</t>
        </is>
      </c>
      <c r="C31" t="inlineStr">
        <is>
          <t>T020</t>
        </is>
      </c>
      <c r="D31" t="inlineStr">
        <is>
          <t>North Belt</t>
        </is>
      </c>
      <c r="E31" s="5" t="n">
        <v>0.6182</v>
      </c>
      <c r="F31" s="5" t="n">
        <v>0.8524</v>
      </c>
      <c r="G31" s="6" t="n">
        <v>77097.75</v>
      </c>
    </row>
    <row r="32">
      <c r="A32" t="inlineStr">
        <is>
          <t>R017</t>
        </is>
      </c>
      <c r="B32" t="inlineStr">
        <is>
          <t>Kendall Adams</t>
        </is>
      </c>
      <c r="C32" t="inlineStr">
        <is>
          <t>T007</t>
        </is>
      </c>
      <c r="D32" t="inlineStr">
        <is>
          <t>Coastal Basin</t>
        </is>
      </c>
      <c r="E32" s="5" t="n">
        <v>0.7304</v>
      </c>
      <c r="F32" s="5" t="n">
        <v>0.5858</v>
      </c>
      <c r="G32" s="6" t="n">
        <v>39379.88</v>
      </c>
    </row>
    <row r="33">
      <c r="A33" t="inlineStr">
        <is>
          <t>R017</t>
        </is>
      </c>
      <c r="B33" t="inlineStr">
        <is>
          <t>Kendall Adams</t>
        </is>
      </c>
      <c r="C33" t="inlineStr">
        <is>
          <t>T010</t>
        </is>
      </c>
      <c r="D33" t="inlineStr">
        <is>
          <t>Coastal Basin 2</t>
        </is>
      </c>
      <c r="E33" s="5" t="n">
        <v>0.2696</v>
      </c>
      <c r="F33" s="5" t="n">
        <v>0.2162</v>
      </c>
      <c r="G33" s="6" t="n">
        <v>14533.85</v>
      </c>
    </row>
    <row r="34">
      <c r="A34" t="inlineStr">
        <is>
          <t>R018</t>
        </is>
      </c>
      <c r="B34" t="inlineStr">
        <is>
          <t>Hayden Martin</t>
        </is>
      </c>
      <c r="C34" t="inlineStr">
        <is>
          <t>T015</t>
        </is>
      </c>
      <c r="D34" t="inlineStr">
        <is>
          <t>Valley Sector 2</t>
        </is>
      </c>
      <c r="E34" s="5" t="n">
        <v>1</v>
      </c>
      <c r="F34" s="5" t="n">
        <v>1.389</v>
      </c>
      <c r="G34" s="6" t="n">
        <v>110727</v>
      </c>
    </row>
    <row r="35">
      <c r="A35" t="inlineStr">
        <is>
          <t>R019</t>
        </is>
      </c>
      <c r="B35" t="inlineStr">
        <is>
          <t>Quinn Taylor</t>
        </is>
      </c>
      <c r="C35" t="inlineStr">
        <is>
          <t>T012</t>
        </is>
      </c>
      <c r="D35" t="inlineStr">
        <is>
          <t>River Zone</t>
        </is>
      </c>
      <c r="E35" s="5" t="n">
        <v>1</v>
      </c>
      <c r="F35" s="5" t="n">
        <v>0.696</v>
      </c>
      <c r="G35" s="6" t="n">
        <v>56366.22</v>
      </c>
    </row>
    <row r="36">
      <c r="A36" t="inlineStr">
        <is>
          <t>R020</t>
        </is>
      </c>
      <c r="B36" t="inlineStr">
        <is>
          <t>Devon Chen</t>
        </is>
      </c>
      <c r="C36" t="inlineStr">
        <is>
          <t>T002</t>
        </is>
      </c>
      <c r="D36" t="inlineStr">
        <is>
          <t>Bay Corridor</t>
        </is>
      </c>
      <c r="E36" s="5" t="n">
        <v>0.886</v>
      </c>
      <c r="F36" s="5" t="n">
        <v>0.9436</v>
      </c>
      <c r="G36" s="6" t="n">
        <v>80015.50999999999</v>
      </c>
    </row>
    <row r="37">
      <c r="A37" t="inlineStr">
        <is>
          <t>R020</t>
        </is>
      </c>
      <c r="B37" t="inlineStr">
        <is>
          <t>Devon Chen</t>
        </is>
      </c>
      <c r="C37" t="inlineStr">
        <is>
          <t>T004</t>
        </is>
      </c>
      <c r="D37" t="inlineStr">
        <is>
          <t>North Cluster</t>
        </is>
      </c>
      <c r="E37" s="5" t="n">
        <v>0.0063</v>
      </c>
      <c r="F37" s="5" t="n">
        <v>0.0067</v>
      </c>
      <c r="G37" s="6" t="n">
        <v>568.1799999999999</v>
      </c>
    </row>
    <row r="38">
      <c r="A38" t="inlineStr">
        <is>
          <t>R020</t>
        </is>
      </c>
      <c r="B38" t="inlineStr">
        <is>
          <t>Devon Chen</t>
        </is>
      </c>
      <c r="C38" t="inlineStr">
        <is>
          <t>T017</t>
        </is>
      </c>
      <c r="D38" t="inlineStr">
        <is>
          <t>South Sector</t>
        </is>
      </c>
      <c r="E38" s="5" t="n">
        <v>0.1077</v>
      </c>
      <c r="F38" s="5" t="n">
        <v>0.1148</v>
      </c>
      <c r="G38" s="6" t="n">
        <v>9731.1</v>
      </c>
    </row>
    <row r="39">
      <c r="A39" t="inlineStr">
        <is>
          <t>R021</t>
        </is>
      </c>
      <c r="B39" t="inlineStr">
        <is>
          <t>Riley White</t>
        </is>
      </c>
      <c r="C39" t="inlineStr">
        <is>
          <t>T017</t>
        </is>
      </c>
      <c r="D39" t="inlineStr">
        <is>
          <t>South Sector</t>
        </is>
      </c>
      <c r="E39" s="5" t="n">
        <v>0.75</v>
      </c>
      <c r="F39" s="5" t="n">
        <v>0.5783</v>
      </c>
      <c r="G39" s="6" t="n">
        <v>38964.43</v>
      </c>
    </row>
    <row r="40">
      <c r="A40" t="inlineStr">
        <is>
          <t>R022</t>
        </is>
      </c>
      <c r="B40" t="inlineStr">
        <is>
          <t>Sage Martin</t>
        </is>
      </c>
      <c r="C40" t="inlineStr">
        <is>
          <t>T009</t>
        </is>
      </c>
      <c r="D40" t="inlineStr">
        <is>
          <t>Greater Territory</t>
        </is>
      </c>
      <c r="E40" s="5" t="n">
        <v>0.7602</v>
      </c>
      <c r="F40" s="5" t="n">
        <v>1.16</v>
      </c>
      <c r="G40" s="6" t="n">
        <v>85912.13</v>
      </c>
    </row>
    <row r="41">
      <c r="A41" t="inlineStr">
        <is>
          <t>R022</t>
        </is>
      </c>
      <c r="B41" t="inlineStr">
        <is>
          <t>Sage Martin</t>
        </is>
      </c>
      <c r="C41" t="inlineStr">
        <is>
          <t>T011</t>
        </is>
      </c>
      <c r="D41" t="inlineStr">
        <is>
          <t>South Basin</t>
        </is>
      </c>
      <c r="E41" s="5" t="n">
        <v>0.2398</v>
      </c>
      <c r="F41" s="5" t="n">
        <v>0.366</v>
      </c>
      <c r="G41" s="6" t="n">
        <v>27106.76</v>
      </c>
    </row>
    <row r="42">
      <c r="A42" t="inlineStr">
        <is>
          <t>R023</t>
        </is>
      </c>
      <c r="B42" t="inlineStr">
        <is>
          <t>Morgan Martinez</t>
        </is>
      </c>
      <c r="C42" t="inlineStr">
        <is>
          <t>T002</t>
        </is>
      </c>
      <c r="D42" t="inlineStr">
        <is>
          <t>Bay Corridor</t>
        </is>
      </c>
      <c r="E42" s="5" t="n">
        <v>0.3038</v>
      </c>
      <c r="F42" s="5" t="n">
        <v>0.2594</v>
      </c>
      <c r="G42" s="6" t="n">
        <v>17927.37</v>
      </c>
    </row>
    <row r="43">
      <c r="A43" t="inlineStr">
        <is>
          <t>R023</t>
        </is>
      </c>
      <c r="B43" t="inlineStr">
        <is>
          <t>Morgan Martinez</t>
        </is>
      </c>
      <c r="C43" t="inlineStr">
        <is>
          <t>T020</t>
        </is>
      </c>
      <c r="D43" t="inlineStr">
        <is>
          <t>North Belt</t>
        </is>
      </c>
      <c r="E43" s="5" t="n">
        <v>0.1962</v>
      </c>
      <c r="F43" s="5" t="n">
        <v>0.1676</v>
      </c>
      <c r="G43" s="6" t="n">
        <v>11577.3</v>
      </c>
    </row>
    <row r="44">
      <c r="A44" t="inlineStr">
        <is>
          <t>R024</t>
        </is>
      </c>
      <c r="B44" t="inlineStr">
        <is>
          <t>Devon Nguyen</t>
        </is>
      </c>
      <c r="C44" t="inlineStr">
        <is>
          <t>T017</t>
        </is>
      </c>
      <c r="D44" t="inlineStr">
        <is>
          <t>South Sector</t>
        </is>
      </c>
      <c r="E44" s="5" t="n">
        <v>1</v>
      </c>
      <c r="F44" s="5" t="n">
        <v>0.727</v>
      </c>
      <c r="G44" s="6" t="n">
        <v>58539.06</v>
      </c>
    </row>
    <row r="45">
      <c r="A45" t="inlineStr">
        <is>
          <t>R025</t>
        </is>
      </c>
      <c r="B45" t="inlineStr">
        <is>
          <t>Devon Kim</t>
        </is>
      </c>
      <c r="C45" t="inlineStr">
        <is>
          <t>T004</t>
        </is>
      </c>
      <c r="D45" t="inlineStr">
        <is>
          <t>North Cluster</t>
        </is>
      </c>
      <c r="E45" s="5" t="n">
        <v>0.75</v>
      </c>
      <c r="F45" s="5" t="n">
        <v>0.7995</v>
      </c>
      <c r="G45" s="6" t="n">
        <v>62771.54</v>
      </c>
    </row>
    <row r="46">
      <c r="A46" t="inlineStr">
        <is>
          <t>R026</t>
        </is>
      </c>
      <c r="B46" t="inlineStr">
        <is>
          <t>Morgan Baker</t>
        </is>
      </c>
      <c r="C46" t="inlineStr">
        <is>
          <t>T008</t>
        </is>
      </c>
      <c r="D46" t="inlineStr">
        <is>
          <t>Valley Sector</t>
        </is>
      </c>
      <c r="E46" s="5" t="n">
        <v>0.75</v>
      </c>
      <c r="F46" s="5" t="n">
        <v>0.9952</v>
      </c>
      <c r="G46" s="6" t="n">
        <v>85098.53</v>
      </c>
    </row>
    <row r="47">
      <c r="A47" t="inlineStr">
        <is>
          <t>R027</t>
        </is>
      </c>
      <c r="B47" t="inlineStr">
        <is>
          <t>Remy Anderson</t>
        </is>
      </c>
      <c r="C47" t="inlineStr">
        <is>
          <t>T006</t>
        </is>
      </c>
      <c r="D47" t="inlineStr">
        <is>
          <t>Lakeside Belt</t>
        </is>
      </c>
      <c r="E47" s="5" t="n">
        <v>0.2546</v>
      </c>
      <c r="F47" s="5" t="n">
        <v>0.3513</v>
      </c>
      <c r="G47" s="6" t="n">
        <v>27849.54</v>
      </c>
    </row>
    <row r="48">
      <c r="A48" t="inlineStr">
        <is>
          <t>R027</t>
        </is>
      </c>
      <c r="B48" t="inlineStr">
        <is>
          <t>Remy Anderson</t>
        </is>
      </c>
      <c r="C48" t="inlineStr">
        <is>
          <t>T012</t>
        </is>
      </c>
      <c r="D48" t="inlineStr">
        <is>
          <t>River Zone</t>
        </is>
      </c>
      <c r="E48" s="5" t="n">
        <v>0.0139</v>
      </c>
      <c r="F48" s="5" t="n">
        <v>0.0192</v>
      </c>
      <c r="G48" s="6" t="n">
        <v>1522.09</v>
      </c>
    </row>
    <row r="49">
      <c r="A49" t="inlineStr">
        <is>
          <t>R027</t>
        </is>
      </c>
      <c r="B49" t="inlineStr">
        <is>
          <t>Remy Anderson</t>
        </is>
      </c>
      <c r="C49" t="inlineStr">
        <is>
          <t>T013</t>
        </is>
      </c>
      <c r="D49" t="inlineStr">
        <is>
          <t>Bay District</t>
        </is>
      </c>
      <c r="E49" s="5" t="n">
        <v>0.2315</v>
      </c>
      <c r="F49" s="5" t="n">
        <v>0.3195</v>
      </c>
      <c r="G49" s="6" t="n">
        <v>25328.58</v>
      </c>
    </row>
    <row r="50">
      <c r="A50" t="inlineStr">
        <is>
          <t>R028</t>
        </is>
      </c>
      <c r="B50" t="inlineStr">
        <is>
          <t>Peyton Thomas</t>
        </is>
      </c>
      <c r="C50" t="inlineStr">
        <is>
          <t>T010</t>
        </is>
      </c>
      <c r="D50" t="inlineStr">
        <is>
          <t>Coastal Basin 2</t>
        </is>
      </c>
      <c r="E50" s="5" t="n">
        <v>0.5558</v>
      </c>
      <c r="F50" s="5" t="n">
        <v>0.5702</v>
      </c>
      <c r="G50" s="6" t="n">
        <v>43323.05</v>
      </c>
    </row>
    <row r="51">
      <c r="A51" t="inlineStr">
        <is>
          <t>R028</t>
        </is>
      </c>
      <c r="B51" t="inlineStr">
        <is>
          <t>Peyton Thomas</t>
        </is>
      </c>
      <c r="C51" t="inlineStr">
        <is>
          <t>T011</t>
        </is>
      </c>
      <c r="D51" t="inlineStr">
        <is>
          <t>South Basin</t>
        </is>
      </c>
      <c r="E51" s="5" t="n">
        <v>0.1942</v>
      </c>
      <c r="F51" s="5" t="n">
        <v>0.1993</v>
      </c>
      <c r="G51" s="6" t="n">
        <v>15137.43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4" customWidth="1" min="4" max="4"/>
    <col width="24" customWidth="1" min="5" max="5"/>
    <col width="18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Territory-Level KPIs (Optimized Solution)</t>
        </is>
      </c>
    </row>
    <row r="3">
      <c r="A3" s="4" t="inlineStr">
        <is>
          <t>territory_id</t>
        </is>
      </c>
      <c r="B3" s="4" t="inlineStr">
        <is>
          <t>territory_name</t>
        </is>
      </c>
      <c r="C3" s="4" t="inlineStr">
        <is>
          <t>region</t>
        </is>
      </c>
      <c r="D3" s="4" t="inlineStr">
        <is>
          <t>required_fte</t>
        </is>
      </c>
      <c r="E3" s="4" t="inlineStr">
        <is>
          <t>allocated_fte_supplied</t>
        </is>
      </c>
      <c r="F3" s="4" t="inlineStr">
        <is>
          <t>min_coverage_pct</t>
        </is>
      </c>
      <c r="G3" s="4" t="inlineStr">
        <is>
          <t>coverage_pct</t>
        </is>
      </c>
      <c r="H3" s="4" t="inlineStr">
        <is>
          <t>potential_revenue</t>
        </is>
      </c>
      <c r="I3" s="4" t="inlineStr">
        <is>
          <t>achieved_revenue</t>
        </is>
      </c>
      <c r="J3" s="4" t="inlineStr">
        <is>
          <t>meets_min_coverage</t>
        </is>
      </c>
    </row>
    <row r="4">
      <c r="A4" t="inlineStr">
        <is>
          <t>T001</t>
        </is>
      </c>
      <c r="B4" t="inlineStr">
        <is>
          <t>Coastal Territory</t>
        </is>
      </c>
      <c r="C4" t="inlineStr">
        <is>
          <t>Northeast</t>
        </is>
      </c>
      <c r="D4" s="7" t="n">
        <v>1.99</v>
      </c>
      <c r="E4" s="7" t="n">
        <v>0.995</v>
      </c>
      <c r="F4" s="8" t="n">
        <v>0.5</v>
      </c>
      <c r="G4" s="9" t="n">
        <v>50</v>
      </c>
      <c r="H4" s="6" t="n">
        <v>460685.64</v>
      </c>
      <c r="I4" s="6" t="n">
        <v>230342.82</v>
      </c>
      <c r="J4" s="10" t="inlineStr">
        <is>
          <t>Yes</t>
        </is>
      </c>
    </row>
    <row r="5">
      <c r="A5" t="inlineStr">
        <is>
          <t>T002</t>
        </is>
      </c>
      <c r="B5" t="inlineStr">
        <is>
          <t>Bay Corridor</t>
        </is>
      </c>
      <c r="C5" t="inlineStr">
        <is>
          <t>West</t>
        </is>
      </c>
      <c r="D5" s="7" t="n">
        <v>2.35</v>
      </c>
      <c r="E5" s="7" t="n">
        <v>2.35</v>
      </c>
      <c r="F5" s="8" t="n">
        <v>0.6899999999999999</v>
      </c>
      <c r="G5" s="9" t="n">
        <v>100</v>
      </c>
      <c r="H5" s="6" t="n">
        <v>653410.16</v>
      </c>
      <c r="I5" s="6" t="n">
        <v>653410.16</v>
      </c>
      <c r="J5" s="10" t="inlineStr">
        <is>
          <t>Yes</t>
        </is>
      </c>
    </row>
    <row r="6">
      <c r="A6" t="inlineStr">
        <is>
          <t>T003</t>
        </is>
      </c>
      <c r="B6" t="inlineStr">
        <is>
          <t>West Region</t>
        </is>
      </c>
      <c r="C6" t="inlineStr">
        <is>
          <t>West</t>
        </is>
      </c>
      <c r="D6" s="7" t="n">
        <v>1.32</v>
      </c>
      <c r="E6" s="7" t="n">
        <v>1.32</v>
      </c>
      <c r="F6" s="8" t="n">
        <v>0.61</v>
      </c>
      <c r="G6" s="9" t="n">
        <v>100</v>
      </c>
      <c r="H6" s="6" t="n">
        <v>507958.09</v>
      </c>
      <c r="I6" s="6" t="n">
        <v>507958.09</v>
      </c>
      <c r="J6" s="10" t="inlineStr">
        <is>
          <t>Yes</t>
        </is>
      </c>
    </row>
    <row r="7">
      <c r="A7" t="inlineStr">
        <is>
          <t>T004</t>
        </is>
      </c>
      <c r="B7" t="inlineStr">
        <is>
          <t>North Cluster</t>
        </is>
      </c>
      <c r="C7" t="inlineStr">
        <is>
          <t>Midwest</t>
        </is>
      </c>
      <c r="D7" s="7" t="n">
        <v>1.39</v>
      </c>
      <c r="E7" s="7" t="n">
        <v>0.806</v>
      </c>
      <c r="F7" s="8" t="n">
        <v>0.58</v>
      </c>
      <c r="G7" s="9" t="n">
        <v>58</v>
      </c>
      <c r="H7" s="6" t="n">
        <v>328242.21</v>
      </c>
      <c r="I7" s="6" t="n">
        <v>190380.48</v>
      </c>
      <c r="J7" s="10" t="inlineStr">
        <is>
          <t>Yes</t>
        </is>
      </c>
    </row>
    <row r="8">
      <c r="A8" t="inlineStr">
        <is>
          <t>T005</t>
        </is>
      </c>
      <c r="B8" t="inlineStr">
        <is>
          <t>North Area</t>
        </is>
      </c>
      <c r="C8" t="inlineStr">
        <is>
          <t>Northeast</t>
        </is>
      </c>
      <c r="D8" s="7" t="n">
        <v>1.55</v>
      </c>
      <c r="E8" s="7" t="n">
        <v>0.868</v>
      </c>
      <c r="F8" s="8" t="n">
        <v>0.5600000000000001</v>
      </c>
      <c r="G8" s="9" t="n">
        <v>56</v>
      </c>
      <c r="H8" s="6" t="n">
        <v>300688.62</v>
      </c>
      <c r="I8" s="6" t="n">
        <v>168385.63</v>
      </c>
      <c r="J8" s="10" t="inlineStr">
        <is>
          <t>Yes</t>
        </is>
      </c>
    </row>
    <row r="9">
      <c r="A9" t="inlineStr">
        <is>
          <t>T006</t>
        </is>
      </c>
      <c r="B9" t="inlineStr">
        <is>
          <t>Lakeside Belt</t>
        </is>
      </c>
      <c r="C9" t="inlineStr">
        <is>
          <t>Northwest</t>
        </is>
      </c>
      <c r="D9" s="7" t="n">
        <v>1.1</v>
      </c>
      <c r="E9" s="7" t="n">
        <v>0.737</v>
      </c>
      <c r="F9" s="8" t="n">
        <v>0.67</v>
      </c>
      <c r="G9" s="9" t="n">
        <v>67</v>
      </c>
      <c r="H9" s="6" t="n">
        <v>272285.35</v>
      </c>
      <c r="I9" s="6" t="n">
        <v>182431.18</v>
      </c>
      <c r="J9" s="10" t="inlineStr">
        <is>
          <t>Yes</t>
        </is>
      </c>
    </row>
    <row r="10">
      <c r="A10" t="inlineStr">
        <is>
          <t>T007</t>
        </is>
      </c>
      <c r="B10" t="inlineStr">
        <is>
          <t>Coastal Basin</t>
        </is>
      </c>
      <c r="C10" t="inlineStr">
        <is>
          <t>Midwest</t>
        </is>
      </c>
      <c r="D10" s="7" t="n">
        <v>1.01</v>
      </c>
      <c r="E10" s="7" t="n">
        <v>0.586</v>
      </c>
      <c r="F10" s="8" t="n">
        <v>0.58</v>
      </c>
      <c r="G10" s="9" t="n">
        <v>58</v>
      </c>
      <c r="H10" s="6" t="n">
        <v>252967.13</v>
      </c>
      <c r="I10" s="6" t="n">
        <v>146720.94</v>
      </c>
      <c r="J10" s="10" t="inlineStr">
        <is>
          <t>Yes</t>
        </is>
      </c>
    </row>
    <row r="11">
      <c r="A11" t="inlineStr">
        <is>
          <t>T008</t>
        </is>
      </c>
      <c r="B11" t="inlineStr">
        <is>
          <t>Valley Sector</t>
        </is>
      </c>
      <c r="C11" t="inlineStr">
        <is>
          <t>Northwest</t>
        </is>
      </c>
      <c r="D11" s="7" t="n">
        <v>1.56</v>
      </c>
      <c r="E11" s="7" t="n">
        <v>1.56</v>
      </c>
      <c r="F11" s="8" t="n">
        <v>0.48</v>
      </c>
      <c r="G11" s="9" t="n">
        <v>100</v>
      </c>
      <c r="H11" s="6" t="n">
        <v>528621.54</v>
      </c>
      <c r="I11" s="6" t="n">
        <v>528621.54</v>
      </c>
      <c r="J11" s="10" t="inlineStr">
        <is>
          <t>Yes</t>
        </is>
      </c>
    </row>
    <row r="12">
      <c r="A12" t="inlineStr">
        <is>
          <t>T009</t>
        </is>
      </c>
      <c r="B12" t="inlineStr">
        <is>
          <t>Greater Territory</t>
        </is>
      </c>
      <c r="C12" t="inlineStr">
        <is>
          <t>West</t>
        </is>
      </c>
      <c r="D12" s="7" t="n">
        <v>1.16</v>
      </c>
      <c r="E12" s="7" t="n">
        <v>1.16</v>
      </c>
      <c r="F12" s="8" t="n">
        <v>0.49</v>
      </c>
      <c r="G12" s="9" t="n">
        <v>100</v>
      </c>
      <c r="H12" s="6" t="n">
        <v>363877.75</v>
      </c>
      <c r="I12" s="6" t="n">
        <v>363877.75</v>
      </c>
      <c r="J12" s="10" t="inlineStr">
        <is>
          <t>Yes</t>
        </is>
      </c>
    </row>
    <row r="13">
      <c r="A13" t="inlineStr">
        <is>
          <t>T010</t>
        </is>
      </c>
      <c r="B13" t="inlineStr">
        <is>
          <t>Coastal Basin 2</t>
        </is>
      </c>
      <c r="C13" t="inlineStr">
        <is>
          <t>West</t>
        </is>
      </c>
      <c r="D13" s="7" t="n">
        <v>1.87</v>
      </c>
      <c r="E13" s="7" t="n">
        <v>1.87</v>
      </c>
      <c r="F13" s="8" t="n">
        <v>0.79</v>
      </c>
      <c r="G13" s="9" t="n">
        <v>100</v>
      </c>
      <c r="H13" s="6" t="n">
        <v>688413.52</v>
      </c>
      <c r="I13" s="6" t="n">
        <v>688413.52</v>
      </c>
      <c r="J13" s="10" t="inlineStr">
        <is>
          <t>Yes</t>
        </is>
      </c>
    </row>
    <row r="14">
      <c r="A14" t="inlineStr">
        <is>
          <t>T011</t>
        </is>
      </c>
      <c r="B14" t="inlineStr">
        <is>
          <t>South Basin</t>
        </is>
      </c>
      <c r="C14" t="inlineStr">
        <is>
          <t>West</t>
        </is>
      </c>
      <c r="D14" s="7" t="n">
        <v>1.5</v>
      </c>
      <c r="E14" s="7" t="n">
        <v>1.5</v>
      </c>
      <c r="F14" s="8" t="n">
        <v>0.77</v>
      </c>
      <c r="G14" s="9" t="n">
        <v>100</v>
      </c>
      <c r="H14" s="6" t="n">
        <v>509152.87</v>
      </c>
      <c r="I14" s="6" t="n">
        <v>509152.87</v>
      </c>
      <c r="J14" s="10" t="inlineStr">
        <is>
          <t>Yes</t>
        </is>
      </c>
    </row>
    <row r="15">
      <c r="A15" t="inlineStr">
        <is>
          <t>T012</t>
        </is>
      </c>
      <c r="B15" t="inlineStr">
        <is>
          <t>River Zone</t>
        </is>
      </c>
      <c r="C15" t="inlineStr">
        <is>
          <t>Southeast</t>
        </is>
      </c>
      <c r="D15" s="7" t="n">
        <v>2.13</v>
      </c>
      <c r="E15" s="7" t="n">
        <v>2.08</v>
      </c>
      <c r="F15" s="8" t="n">
        <v>0.6899999999999999</v>
      </c>
      <c r="G15" s="9" t="n">
        <v>97.7</v>
      </c>
      <c r="H15" s="6" t="n">
        <v>591144.96</v>
      </c>
      <c r="I15" s="6" t="n">
        <v>577323.8199999999</v>
      </c>
      <c r="J15" s="10" t="inlineStr">
        <is>
          <t>Yes</t>
        </is>
      </c>
    </row>
    <row r="16">
      <c r="A16" t="inlineStr">
        <is>
          <t>T013</t>
        </is>
      </c>
      <c r="B16" t="inlineStr">
        <is>
          <t>Bay District</t>
        </is>
      </c>
      <c r="C16" t="inlineStr">
        <is>
          <t>Midwest</t>
        </is>
      </c>
      <c r="D16" s="7" t="n">
        <v>1.92</v>
      </c>
      <c r="E16" s="7" t="n">
        <v>1.92</v>
      </c>
      <c r="F16" s="8" t="n">
        <v>0.54</v>
      </c>
      <c r="G16" s="9" t="n">
        <v>100</v>
      </c>
      <c r="H16" s="6" t="n">
        <v>720700.59</v>
      </c>
      <c r="I16" s="6" t="n">
        <v>720700.59</v>
      </c>
      <c r="J16" s="10" t="inlineStr">
        <is>
          <t>Yes</t>
        </is>
      </c>
    </row>
    <row r="17">
      <c r="A17" t="inlineStr">
        <is>
          <t>T014</t>
        </is>
      </c>
      <c r="B17" t="inlineStr">
        <is>
          <t>Bay Territory</t>
        </is>
      </c>
      <c r="C17" t="inlineStr">
        <is>
          <t>Midwest</t>
        </is>
      </c>
      <c r="D17" s="7" t="n">
        <v>1.3</v>
      </c>
      <c r="E17" s="7" t="n">
        <v>1.027</v>
      </c>
      <c r="F17" s="8" t="n">
        <v>0.79</v>
      </c>
      <c r="G17" s="9" t="n">
        <v>79</v>
      </c>
      <c r="H17" s="6" t="n">
        <v>286095.55</v>
      </c>
      <c r="I17" s="6" t="n">
        <v>226015.48</v>
      </c>
      <c r="J17" s="10" t="inlineStr">
        <is>
          <t>Yes</t>
        </is>
      </c>
    </row>
    <row r="18">
      <c r="A18" t="inlineStr">
        <is>
          <t>T015</t>
        </is>
      </c>
      <c r="B18" t="inlineStr">
        <is>
          <t>Valley Sector 2</t>
        </is>
      </c>
      <c r="C18" t="inlineStr">
        <is>
          <t>Midwest</t>
        </is>
      </c>
      <c r="D18" s="7" t="n">
        <v>2.13</v>
      </c>
      <c r="E18" s="7" t="n">
        <v>1.534</v>
      </c>
      <c r="F18" s="8" t="n">
        <v>0.72</v>
      </c>
      <c r="G18" s="9" t="n">
        <v>72</v>
      </c>
      <c r="H18" s="6" t="n">
        <v>395010.41</v>
      </c>
      <c r="I18" s="6" t="n">
        <v>284407.5</v>
      </c>
      <c r="J18" s="10" t="inlineStr">
        <is>
          <t>Yes</t>
        </is>
      </c>
    </row>
    <row r="19">
      <c r="A19" t="inlineStr">
        <is>
          <t>T016</t>
        </is>
      </c>
      <c r="B19" t="inlineStr">
        <is>
          <t>Bay District 2</t>
        </is>
      </c>
      <c r="C19" t="inlineStr">
        <is>
          <t>Northeast</t>
        </is>
      </c>
      <c r="D19" s="7" t="n">
        <v>2.09</v>
      </c>
      <c r="E19" s="7" t="n">
        <v>1.463</v>
      </c>
      <c r="F19" s="8" t="n">
        <v>0.7</v>
      </c>
      <c r="G19" s="9" t="n">
        <v>70</v>
      </c>
      <c r="H19" s="6" t="n">
        <v>421368.01</v>
      </c>
      <c r="I19" s="6" t="n">
        <v>294957.61</v>
      </c>
      <c r="J19" s="10" t="inlineStr">
        <is>
          <t>Yes</t>
        </is>
      </c>
    </row>
    <row r="20">
      <c r="A20" t="inlineStr">
        <is>
          <t>T017</t>
        </is>
      </c>
      <c r="B20" t="inlineStr">
        <is>
          <t>South Sector</t>
        </is>
      </c>
      <c r="C20" t="inlineStr">
        <is>
          <t>Southwest</t>
        </is>
      </c>
      <c r="D20" s="7" t="n">
        <v>1.42</v>
      </c>
      <c r="E20" s="7" t="n">
        <v>1.42</v>
      </c>
      <c r="F20" s="8" t="n">
        <v>0.61</v>
      </c>
      <c r="G20" s="9" t="n">
        <v>100</v>
      </c>
      <c r="H20" s="6" t="n">
        <v>501780.07</v>
      </c>
      <c r="I20" s="6" t="n">
        <v>501780.07</v>
      </c>
      <c r="J20" s="10" t="inlineStr">
        <is>
          <t>Yes</t>
        </is>
      </c>
    </row>
    <row r="21">
      <c r="A21" t="inlineStr">
        <is>
          <t>T018</t>
        </is>
      </c>
      <c r="B21" t="inlineStr">
        <is>
          <t>Coastal Sector</t>
        </is>
      </c>
      <c r="C21" t="inlineStr">
        <is>
          <t>Northeast</t>
        </is>
      </c>
      <c r="D21" s="7" t="n">
        <v>1.26</v>
      </c>
      <c r="E21" s="7" t="n">
        <v>1.26</v>
      </c>
      <c r="F21" s="8" t="n">
        <v>0.55</v>
      </c>
      <c r="G21" s="9" t="n">
        <v>100</v>
      </c>
      <c r="H21" s="6" t="n">
        <v>366471.67</v>
      </c>
      <c r="I21" s="6" t="n">
        <v>366471.67</v>
      </c>
      <c r="J21" s="10" t="inlineStr">
        <is>
          <t>Yes</t>
        </is>
      </c>
    </row>
    <row r="22">
      <c r="A22" t="inlineStr">
        <is>
          <t>T019</t>
        </is>
      </c>
      <c r="B22" t="inlineStr">
        <is>
          <t>Lakeside Zone</t>
        </is>
      </c>
      <c r="C22" t="inlineStr">
        <is>
          <t>West</t>
        </is>
      </c>
      <c r="D22" s="7" t="n">
        <v>1.89</v>
      </c>
      <c r="E22" s="7" t="n">
        <v>0.907</v>
      </c>
      <c r="F22" s="8" t="n">
        <v>0.48</v>
      </c>
      <c r="G22" s="9" t="n">
        <v>48</v>
      </c>
      <c r="H22" s="6" t="n">
        <v>413352.88</v>
      </c>
      <c r="I22" s="6" t="n">
        <v>198409.38</v>
      </c>
      <c r="J22" s="10" t="inlineStr">
        <is>
          <t>Yes</t>
        </is>
      </c>
    </row>
    <row r="23">
      <c r="A23" t="inlineStr">
        <is>
          <t>T020</t>
        </is>
      </c>
      <c r="B23" t="inlineStr">
        <is>
          <t>North Belt</t>
        </is>
      </c>
      <c r="C23" t="inlineStr">
        <is>
          <t>West</t>
        </is>
      </c>
      <c r="D23" s="7" t="n">
        <v>1.02</v>
      </c>
      <c r="E23" s="7" t="n">
        <v>1.02</v>
      </c>
      <c r="F23" s="8" t="n">
        <v>0.77</v>
      </c>
      <c r="G23" s="9" t="n">
        <v>100</v>
      </c>
      <c r="H23" s="6" t="n">
        <v>306255.76</v>
      </c>
      <c r="I23" s="6" t="n">
        <v>306255.76</v>
      </c>
      <c r="J23" s="10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3" customWidth="1" min="4" max="4"/>
    <col width="18" customWidth="1" min="5" max="5"/>
    <col width="25" customWidth="1" min="6" max="6"/>
    <col width="18" customWidth="1" min="7" max="7"/>
    <col width="15" customWidth="1" min="8" max="8"/>
    <col width="17" customWidth="1" min="9" max="9"/>
    <col width="13" customWidth="1" min="10" max="10"/>
    <col width="15" customWidth="1" min="11" max="11"/>
    <col width="26" customWidth="1" min="12" max="12"/>
  </cols>
  <sheetData>
    <row r="1">
      <c r="A1" s="1" t="inlineStr">
        <is>
          <t>Rep-Level KPIs (Optimized Solution)</t>
        </is>
      </c>
    </row>
    <row r="3">
      <c r="A3" s="4" t="inlineStr">
        <is>
          <t>rep_id</t>
        </is>
      </c>
      <c r="B3" s="4" t="inlineStr">
        <is>
          <t>rep_name</t>
        </is>
      </c>
      <c r="C3" s="4" t="inlineStr">
        <is>
          <t>region</t>
        </is>
      </c>
      <c r="D3" s="4" t="inlineStr">
        <is>
          <t>skill_level</t>
        </is>
      </c>
      <c r="E3" s="4" t="inlineStr">
        <is>
          <t>experience_years</t>
        </is>
      </c>
      <c r="F3" s="4" t="inlineStr">
        <is>
          <t>productivity_multiplier</t>
        </is>
      </c>
      <c r="G3" s="4" t="inlineStr">
        <is>
          <t>max_capacity_fte</t>
        </is>
      </c>
      <c r="H3" s="4" t="inlineStr">
        <is>
          <t>allocated_fte</t>
        </is>
      </c>
      <c r="I3" s="4" t="inlineStr">
        <is>
          <t>utilization_pct</t>
        </is>
      </c>
      <c r="J3" s="4" t="inlineStr">
        <is>
          <t>annual_cost</t>
        </is>
      </c>
      <c r="K3" s="4" t="inlineStr">
        <is>
          <t>cost_incurred</t>
        </is>
      </c>
      <c r="L3" s="4" t="inlineStr">
        <is>
          <t>num_territories_assigned</t>
        </is>
      </c>
    </row>
    <row r="4">
      <c r="A4" t="inlineStr">
        <is>
          <t>R001</t>
        </is>
      </c>
      <c r="B4" t="inlineStr">
        <is>
          <t>Riley Young</t>
        </is>
      </c>
      <c r="C4" t="inlineStr">
        <is>
          <t>Midwest</t>
        </is>
      </c>
      <c r="D4" t="inlineStr">
        <is>
          <t>Junior</t>
        </is>
      </c>
      <c r="E4" t="n">
        <v>2</v>
      </c>
      <c r="F4" s="7" t="n">
        <v>0.768</v>
      </c>
      <c r="G4" s="7" t="n">
        <v>1</v>
      </c>
      <c r="H4" s="5" t="n">
        <v>1</v>
      </c>
      <c r="I4" s="9" t="n">
        <v>100</v>
      </c>
      <c r="J4" s="6" t="n">
        <v>61623.41</v>
      </c>
      <c r="K4" s="6" t="n">
        <v>61623.41</v>
      </c>
      <c r="L4" t="n">
        <v>2</v>
      </c>
    </row>
    <row r="5">
      <c r="A5" t="inlineStr">
        <is>
          <t>R002</t>
        </is>
      </c>
      <c r="B5" t="inlineStr">
        <is>
          <t>Finley Smith</t>
        </is>
      </c>
      <c r="C5" t="inlineStr">
        <is>
          <t>West</t>
        </is>
      </c>
      <c r="D5" t="inlineStr">
        <is>
          <t>Mid</t>
        </is>
      </c>
      <c r="E5" t="n">
        <v>5</v>
      </c>
      <c r="F5" s="7" t="n">
        <v>1.008</v>
      </c>
      <c r="G5" s="7" t="n">
        <v>1</v>
      </c>
      <c r="H5" s="5" t="n">
        <v>1</v>
      </c>
      <c r="I5" s="9" t="n">
        <v>100</v>
      </c>
      <c r="J5" s="6" t="n">
        <v>79583.66</v>
      </c>
      <c r="K5" s="6" t="n">
        <v>79583.66</v>
      </c>
      <c r="L5" t="n">
        <v>2</v>
      </c>
    </row>
    <row r="6">
      <c r="A6" t="inlineStr">
        <is>
          <t>R003</t>
        </is>
      </c>
      <c r="B6" t="inlineStr">
        <is>
          <t>Shawn Johnson</t>
        </is>
      </c>
      <c r="C6" t="inlineStr">
        <is>
          <t>Northeast</t>
        </is>
      </c>
      <c r="D6" t="inlineStr">
        <is>
          <t>Junior</t>
        </is>
      </c>
      <c r="E6" t="n">
        <v>2</v>
      </c>
      <c r="F6" s="7" t="n">
        <v>0.709</v>
      </c>
      <c r="G6" s="7" t="n">
        <v>1</v>
      </c>
      <c r="H6" s="5" t="n">
        <v>1</v>
      </c>
      <c r="I6" s="9" t="n">
        <v>100</v>
      </c>
      <c r="J6" s="6" t="n">
        <v>54183.41</v>
      </c>
      <c r="K6" s="6" t="n">
        <v>54183.41</v>
      </c>
      <c r="L6" t="n">
        <v>2</v>
      </c>
    </row>
    <row r="7">
      <c r="A7" t="inlineStr">
        <is>
          <t>R004</t>
        </is>
      </c>
      <c r="B7" t="inlineStr">
        <is>
          <t>Cameron Thomas</t>
        </is>
      </c>
      <c r="C7" t="inlineStr">
        <is>
          <t>Northeast</t>
        </is>
      </c>
      <c r="D7" t="inlineStr">
        <is>
          <t>Mid</t>
        </is>
      </c>
      <c r="E7" t="n">
        <v>7</v>
      </c>
      <c r="F7" s="7" t="n">
        <v>1.026</v>
      </c>
      <c r="G7" s="7" t="n">
        <v>1</v>
      </c>
      <c r="H7" s="5" t="n">
        <v>1</v>
      </c>
      <c r="I7" s="9" t="n">
        <v>100</v>
      </c>
      <c r="J7" s="6" t="n">
        <v>75710.84</v>
      </c>
      <c r="K7" s="6" t="n">
        <v>75710.84</v>
      </c>
      <c r="L7" t="n">
        <v>1</v>
      </c>
    </row>
    <row r="8">
      <c r="A8" t="inlineStr">
        <is>
          <t>R005</t>
        </is>
      </c>
      <c r="B8" t="inlineStr">
        <is>
          <t>Shawn Johnson 2</t>
        </is>
      </c>
      <c r="C8" t="inlineStr">
        <is>
          <t>Southeast</t>
        </is>
      </c>
      <c r="D8" t="inlineStr">
        <is>
          <t>Junior</t>
        </is>
      </c>
      <c r="E8" t="n">
        <v>2</v>
      </c>
      <c r="F8" s="7" t="n">
        <v>0.753</v>
      </c>
      <c r="G8" s="7" t="n">
        <v>1</v>
      </c>
      <c r="H8" s="5" t="n">
        <v>1</v>
      </c>
      <c r="I8" s="9" t="n">
        <v>100</v>
      </c>
      <c r="J8" s="6" t="n">
        <v>56149.34</v>
      </c>
      <c r="K8" s="6" t="n">
        <v>56149.34</v>
      </c>
      <c r="L8" t="n">
        <v>2</v>
      </c>
    </row>
    <row r="9">
      <c r="A9" t="inlineStr">
        <is>
          <t>R006</t>
        </is>
      </c>
      <c r="B9" t="inlineStr">
        <is>
          <t>Quinn Davis</t>
        </is>
      </c>
      <c r="C9" t="inlineStr">
        <is>
          <t>Midwest</t>
        </is>
      </c>
      <c r="D9" t="inlineStr">
        <is>
          <t>Mid</t>
        </is>
      </c>
      <c r="E9" t="n">
        <v>4</v>
      </c>
      <c r="F9" s="7" t="n">
        <v>1.086</v>
      </c>
      <c r="G9" s="7" t="n">
        <v>1</v>
      </c>
      <c r="H9" s="5" t="n">
        <v>1</v>
      </c>
      <c r="I9" s="9" t="n">
        <v>100</v>
      </c>
      <c r="J9" s="6" t="n">
        <v>77350.34</v>
      </c>
      <c r="K9" s="6" t="n">
        <v>77350.34</v>
      </c>
      <c r="L9" t="n">
        <v>2</v>
      </c>
    </row>
    <row r="10">
      <c r="A10" t="inlineStr">
        <is>
          <t>R007</t>
        </is>
      </c>
      <c r="B10" t="inlineStr">
        <is>
          <t>Harper Harris</t>
        </is>
      </c>
      <c r="C10" t="inlineStr">
        <is>
          <t>West</t>
        </is>
      </c>
      <c r="D10" t="inlineStr">
        <is>
          <t>Mid</t>
        </is>
      </c>
      <c r="E10" t="n">
        <v>7</v>
      </c>
      <c r="F10" s="7" t="n">
        <v>1.004</v>
      </c>
      <c r="G10" s="7" t="n">
        <v>1</v>
      </c>
      <c r="H10" s="5" t="n">
        <v>1</v>
      </c>
      <c r="I10" s="9" t="n">
        <v>100</v>
      </c>
      <c r="J10" s="6" t="n">
        <v>82182.24000000001</v>
      </c>
      <c r="K10" s="6" t="n">
        <v>82182.24000000001</v>
      </c>
      <c r="L10" t="n">
        <v>2</v>
      </c>
    </row>
    <row r="11">
      <c r="A11" t="inlineStr">
        <is>
          <t>R008</t>
        </is>
      </c>
      <c r="B11" t="inlineStr">
        <is>
          <t>Sage Kim</t>
        </is>
      </c>
      <c r="C11" t="inlineStr">
        <is>
          <t>Midwest</t>
        </is>
      </c>
      <c r="D11" t="inlineStr">
        <is>
          <t>Senior</t>
        </is>
      </c>
      <c r="E11" t="n">
        <v>11</v>
      </c>
      <c r="F11" s="7" t="n">
        <v>1.412</v>
      </c>
      <c r="G11" s="7" t="n">
        <v>1</v>
      </c>
      <c r="H11" s="5" t="n">
        <v>1</v>
      </c>
      <c r="I11" s="9" t="n">
        <v>100</v>
      </c>
      <c r="J11" s="6" t="n">
        <v>111392.56</v>
      </c>
      <c r="K11" s="6" t="n">
        <v>111392.56</v>
      </c>
      <c r="L11" t="n">
        <v>2</v>
      </c>
    </row>
    <row r="12">
      <c r="A12" t="inlineStr">
        <is>
          <t>R009</t>
        </is>
      </c>
      <c r="B12" t="inlineStr">
        <is>
          <t>Charlie Clark</t>
        </is>
      </c>
      <c r="C12" t="inlineStr">
        <is>
          <t>Midwest</t>
        </is>
      </c>
      <c r="D12" t="inlineStr">
        <is>
          <t>Junior</t>
        </is>
      </c>
      <c r="E12" t="n">
        <v>4</v>
      </c>
      <c r="F12" s="7" t="n">
        <v>0.766</v>
      </c>
      <c r="G12" s="7" t="n">
        <v>0.75</v>
      </c>
      <c r="H12" s="5" t="n">
        <v>0.75</v>
      </c>
      <c r="I12" s="9" t="n">
        <v>100</v>
      </c>
      <c r="J12" s="6" t="n">
        <v>58222.95</v>
      </c>
      <c r="K12" s="6" t="n">
        <v>43667.21</v>
      </c>
      <c r="L12" t="n">
        <v>1</v>
      </c>
    </row>
    <row r="13">
      <c r="A13" t="inlineStr">
        <is>
          <t>R010</t>
        </is>
      </c>
      <c r="B13" t="inlineStr">
        <is>
          <t>Avery Garcia</t>
        </is>
      </c>
      <c r="C13" t="inlineStr">
        <is>
          <t>Northwest</t>
        </is>
      </c>
      <c r="D13" t="inlineStr">
        <is>
          <t>Senior</t>
        </is>
      </c>
      <c r="E13" t="n">
        <v>10</v>
      </c>
      <c r="F13" s="7" t="n">
        <v>1.384</v>
      </c>
      <c r="G13" s="7" t="n">
        <v>0.75</v>
      </c>
      <c r="H13" s="5" t="n">
        <v>0.75</v>
      </c>
      <c r="I13" s="9" t="n">
        <v>100</v>
      </c>
      <c r="J13" s="6" t="n">
        <v>106969.09</v>
      </c>
      <c r="K13" s="6" t="n">
        <v>80226.82000000001</v>
      </c>
      <c r="L13" t="n">
        <v>3</v>
      </c>
    </row>
    <row r="14">
      <c r="A14" t="inlineStr">
        <is>
          <t>R011</t>
        </is>
      </c>
      <c r="B14" t="inlineStr">
        <is>
          <t>Finley Johnson</t>
        </is>
      </c>
      <c r="C14" t="inlineStr">
        <is>
          <t>Northeast</t>
        </is>
      </c>
      <c r="D14" t="inlineStr">
        <is>
          <t>Junior</t>
        </is>
      </c>
      <c r="E14" t="n">
        <v>0</v>
      </c>
      <c r="F14" s="7" t="n">
        <v>0.8</v>
      </c>
      <c r="G14" s="7" t="n">
        <v>1</v>
      </c>
      <c r="H14" s="5" t="n">
        <v>1</v>
      </c>
      <c r="I14" s="9" t="n">
        <v>100</v>
      </c>
      <c r="J14" s="6" t="n">
        <v>49131.82</v>
      </c>
      <c r="K14" s="6" t="n">
        <v>49131.82</v>
      </c>
      <c r="L14" t="n">
        <v>1</v>
      </c>
    </row>
    <row r="15">
      <c r="A15" t="inlineStr">
        <is>
          <t>R012</t>
        </is>
      </c>
      <c r="B15" t="inlineStr">
        <is>
          <t>Adrian Martin</t>
        </is>
      </c>
      <c r="C15" t="inlineStr">
        <is>
          <t>Southwest</t>
        </is>
      </c>
      <c r="D15" t="inlineStr">
        <is>
          <t>Junior</t>
        </is>
      </c>
      <c r="E15" t="n">
        <v>0</v>
      </c>
      <c r="F15" s="7" t="n">
        <v>0.777</v>
      </c>
      <c r="G15" s="7" t="n">
        <v>1</v>
      </c>
      <c r="H15" s="5" t="n">
        <v>1</v>
      </c>
      <c r="I15" s="9" t="n">
        <v>100</v>
      </c>
      <c r="J15" s="6" t="n">
        <v>63516.99</v>
      </c>
      <c r="K15" s="6" t="n">
        <v>63516.99</v>
      </c>
      <c r="L15" t="n">
        <v>1</v>
      </c>
    </row>
    <row r="16">
      <c r="A16" t="inlineStr">
        <is>
          <t>R013</t>
        </is>
      </c>
      <c r="B16" t="inlineStr">
        <is>
          <t>Alex Young</t>
        </is>
      </c>
      <c r="C16" t="inlineStr">
        <is>
          <t>Southwest</t>
        </is>
      </c>
      <c r="D16" t="inlineStr">
        <is>
          <t>Mid</t>
        </is>
      </c>
      <c r="E16" t="n">
        <v>8</v>
      </c>
      <c r="F16" s="7" t="n">
        <v>1.147</v>
      </c>
      <c r="G16" s="7" t="n">
        <v>1</v>
      </c>
      <c r="H16" s="5" t="n">
        <v>1</v>
      </c>
      <c r="I16" s="9" t="n">
        <v>100</v>
      </c>
      <c r="J16" s="6" t="n">
        <v>80050.31</v>
      </c>
      <c r="K16" s="6" t="n">
        <v>80050.31</v>
      </c>
      <c r="L16" t="n">
        <v>1</v>
      </c>
    </row>
    <row r="17">
      <c r="A17" t="inlineStr">
        <is>
          <t>R014</t>
        </is>
      </c>
      <c r="B17" t="inlineStr">
        <is>
          <t>Remy Johnson</t>
        </is>
      </c>
      <c r="C17" t="inlineStr">
        <is>
          <t>Midwest</t>
        </is>
      </c>
      <c r="D17" t="inlineStr">
        <is>
          <t>Mid</t>
        </is>
      </c>
      <c r="E17" t="n">
        <v>8</v>
      </c>
      <c r="F17" s="7" t="n">
        <v>1.072</v>
      </c>
      <c r="G17" s="7" t="n">
        <v>1</v>
      </c>
      <c r="H17" s="5" t="n">
        <v>1</v>
      </c>
      <c r="I17" s="9" t="n">
        <v>100</v>
      </c>
      <c r="J17" s="6" t="n">
        <v>80812.86</v>
      </c>
      <c r="K17" s="6" t="n">
        <v>80812.86</v>
      </c>
      <c r="L17" t="n">
        <v>2</v>
      </c>
    </row>
    <row r="18">
      <c r="A18" t="inlineStr">
        <is>
          <t>R015</t>
        </is>
      </c>
      <c r="B18" t="inlineStr">
        <is>
          <t>Sawyer Martinez</t>
        </is>
      </c>
      <c r="C18" t="inlineStr">
        <is>
          <t>West</t>
        </is>
      </c>
      <c r="D18" t="inlineStr">
        <is>
          <t>Senior</t>
        </is>
      </c>
      <c r="E18" t="n">
        <v>10</v>
      </c>
      <c r="F18" s="7" t="n">
        <v>1.365</v>
      </c>
      <c r="G18" s="7" t="n">
        <v>1</v>
      </c>
      <c r="H18" s="5" t="n">
        <v>1</v>
      </c>
      <c r="I18" s="9" t="n">
        <v>100</v>
      </c>
      <c r="J18" s="6" t="n">
        <v>121347.65</v>
      </c>
      <c r="K18" s="6" t="n">
        <v>121347.65</v>
      </c>
      <c r="L18" t="n">
        <v>1</v>
      </c>
    </row>
    <row r="19">
      <c r="A19" t="inlineStr">
        <is>
          <t>R016</t>
        </is>
      </c>
      <c r="B19" t="inlineStr">
        <is>
          <t>Shawn Green</t>
        </is>
      </c>
      <c r="C19" t="inlineStr">
        <is>
          <t>Southeast</t>
        </is>
      </c>
      <c r="D19" t="inlineStr">
        <is>
          <t>Senior</t>
        </is>
      </c>
      <c r="E19" t="n">
        <v>9</v>
      </c>
      <c r="F19" s="7" t="n">
        <v>1.379</v>
      </c>
      <c r="G19" s="7" t="n">
        <v>1</v>
      </c>
      <c r="H19" s="5" t="n">
        <v>1</v>
      </c>
      <c r="I19" s="9" t="n">
        <v>100</v>
      </c>
      <c r="J19" s="6" t="n">
        <v>124720.27</v>
      </c>
      <c r="K19" s="6" t="n">
        <v>124720.27</v>
      </c>
      <c r="L19" t="n">
        <v>2</v>
      </c>
    </row>
    <row r="20">
      <c r="A20" t="inlineStr">
        <is>
          <t>R017</t>
        </is>
      </c>
      <c r="B20" t="inlineStr">
        <is>
          <t>Kendall Adams</t>
        </is>
      </c>
      <c r="C20" t="inlineStr">
        <is>
          <t>Northwest</t>
        </is>
      </c>
      <c r="D20" t="inlineStr">
        <is>
          <t>Junior</t>
        </is>
      </c>
      <c r="E20" t="n">
        <v>4</v>
      </c>
      <c r="F20" s="7" t="n">
        <v>0.802</v>
      </c>
      <c r="G20" s="7" t="n">
        <v>1</v>
      </c>
      <c r="H20" s="5" t="n">
        <v>1</v>
      </c>
      <c r="I20" s="9" t="n">
        <v>100</v>
      </c>
      <c r="J20" s="6" t="n">
        <v>53913.73</v>
      </c>
      <c r="K20" s="6" t="n">
        <v>53913.73</v>
      </c>
      <c r="L20" t="n">
        <v>2</v>
      </c>
    </row>
    <row r="21">
      <c r="A21" t="inlineStr">
        <is>
          <t>R018</t>
        </is>
      </c>
      <c r="B21" t="inlineStr">
        <is>
          <t>Hayden Martin</t>
        </is>
      </c>
      <c r="C21" t="inlineStr">
        <is>
          <t>Southeast</t>
        </is>
      </c>
      <c r="D21" t="inlineStr">
        <is>
          <t>Senior</t>
        </is>
      </c>
      <c r="E21" t="n">
        <v>8</v>
      </c>
      <c r="F21" s="7" t="n">
        <v>1.389</v>
      </c>
      <c r="G21" s="7" t="n">
        <v>1</v>
      </c>
      <c r="H21" s="5" t="n">
        <v>1</v>
      </c>
      <c r="I21" s="9" t="n">
        <v>100</v>
      </c>
      <c r="J21" s="6" t="n">
        <v>110727</v>
      </c>
      <c r="K21" s="6" t="n">
        <v>110727</v>
      </c>
      <c r="L21" t="n">
        <v>1</v>
      </c>
    </row>
    <row r="22">
      <c r="A22" t="inlineStr">
        <is>
          <t>R019</t>
        </is>
      </c>
      <c r="B22" t="inlineStr">
        <is>
          <t>Quinn Taylor</t>
        </is>
      </c>
      <c r="C22" t="inlineStr">
        <is>
          <t>Southwest</t>
        </is>
      </c>
      <c r="D22" t="inlineStr">
        <is>
          <t>Junior</t>
        </is>
      </c>
      <c r="E22" t="n">
        <v>0</v>
      </c>
      <c r="F22" s="7" t="n">
        <v>0.696</v>
      </c>
      <c r="G22" s="7" t="n">
        <v>1</v>
      </c>
      <c r="H22" s="5" t="n">
        <v>1</v>
      </c>
      <c r="I22" s="9" t="n">
        <v>100</v>
      </c>
      <c r="J22" s="6" t="n">
        <v>56366.22</v>
      </c>
      <c r="K22" s="6" t="n">
        <v>56366.22</v>
      </c>
      <c r="L22" t="n">
        <v>1</v>
      </c>
    </row>
    <row r="23">
      <c r="A23" t="inlineStr">
        <is>
          <t>R020</t>
        </is>
      </c>
      <c r="B23" t="inlineStr">
        <is>
          <t>Devon Chen</t>
        </is>
      </c>
      <c r="C23" t="inlineStr">
        <is>
          <t>Southwest</t>
        </is>
      </c>
      <c r="D23" t="inlineStr">
        <is>
          <t>Mid</t>
        </is>
      </c>
      <c r="E23" t="n">
        <v>6</v>
      </c>
      <c r="F23" s="7" t="n">
        <v>1.065</v>
      </c>
      <c r="G23" s="7" t="n">
        <v>1</v>
      </c>
      <c r="H23" s="5" t="n">
        <v>1</v>
      </c>
      <c r="I23" s="9" t="n">
        <v>100</v>
      </c>
      <c r="J23" s="6" t="n">
        <v>90314.78999999999</v>
      </c>
      <c r="K23" s="6" t="n">
        <v>90314.78999999999</v>
      </c>
      <c r="L23" t="n">
        <v>3</v>
      </c>
    </row>
    <row r="24">
      <c r="A24" t="inlineStr">
        <is>
          <t>R021</t>
        </is>
      </c>
      <c r="B24" t="inlineStr">
        <is>
          <t>Riley White</t>
        </is>
      </c>
      <c r="C24" t="inlineStr">
        <is>
          <t>Northwest</t>
        </is>
      </c>
      <c r="D24" t="inlineStr">
        <is>
          <t>Junior</t>
        </is>
      </c>
      <c r="E24" t="n">
        <v>1</v>
      </c>
      <c r="F24" s="7" t="n">
        <v>0.771</v>
      </c>
      <c r="G24" s="7" t="n">
        <v>0.75</v>
      </c>
      <c r="H24" s="5" t="n">
        <v>0.75</v>
      </c>
      <c r="I24" s="9" t="n">
        <v>100</v>
      </c>
      <c r="J24" s="6" t="n">
        <v>51952.57</v>
      </c>
      <c r="K24" s="6" t="n">
        <v>38964.43</v>
      </c>
      <c r="L24" t="n">
        <v>1</v>
      </c>
    </row>
    <row r="25">
      <c r="A25" t="inlineStr">
        <is>
          <t>R022</t>
        </is>
      </c>
      <c r="B25" t="inlineStr">
        <is>
          <t>Sage Martin</t>
        </is>
      </c>
      <c r="C25" t="inlineStr">
        <is>
          <t>Midwest</t>
        </is>
      </c>
      <c r="D25" t="inlineStr">
        <is>
          <t>Senior</t>
        </is>
      </c>
      <c r="E25" t="n">
        <v>10</v>
      </c>
      <c r="F25" s="7" t="n">
        <v>1.526</v>
      </c>
      <c r="G25" s="7" t="n">
        <v>1</v>
      </c>
      <c r="H25" s="5" t="n">
        <v>1</v>
      </c>
      <c r="I25" s="9" t="n">
        <v>100</v>
      </c>
      <c r="J25" s="6" t="n">
        <v>113018.89</v>
      </c>
      <c r="K25" s="6" t="n">
        <v>113018.89</v>
      </c>
      <c r="L25" t="n">
        <v>2</v>
      </c>
    </row>
    <row r="26">
      <c r="A26" t="inlineStr">
        <is>
          <t>R023</t>
        </is>
      </c>
      <c r="B26" t="inlineStr">
        <is>
          <t>Morgan Martinez</t>
        </is>
      </c>
      <c r="C26" t="inlineStr">
        <is>
          <t>Southeast</t>
        </is>
      </c>
      <c r="D26" t="inlineStr">
        <is>
          <t>Junior</t>
        </is>
      </c>
      <c r="E26" t="n">
        <v>1</v>
      </c>
      <c r="F26" s="7" t="n">
        <v>0.854</v>
      </c>
      <c r="G26" s="7" t="n">
        <v>0.5</v>
      </c>
      <c r="H26" s="5" t="n">
        <v>0.5</v>
      </c>
      <c r="I26" s="9" t="n">
        <v>100</v>
      </c>
      <c r="J26" s="6" t="n">
        <v>59009.35</v>
      </c>
      <c r="K26" s="6" t="n">
        <v>29504.68</v>
      </c>
      <c r="L26" t="n">
        <v>2</v>
      </c>
    </row>
    <row r="27">
      <c r="A27" t="inlineStr">
        <is>
          <t>R024</t>
        </is>
      </c>
      <c r="B27" t="inlineStr">
        <is>
          <t>Devon Nguyen</t>
        </is>
      </c>
      <c r="C27" t="inlineStr">
        <is>
          <t>Northeast</t>
        </is>
      </c>
      <c r="D27" t="inlineStr">
        <is>
          <t>Junior</t>
        </is>
      </c>
      <c r="E27" t="n">
        <v>2</v>
      </c>
      <c r="F27" s="7" t="n">
        <v>0.727</v>
      </c>
      <c r="G27" s="7" t="n">
        <v>1</v>
      </c>
      <c r="H27" s="5" t="n">
        <v>1</v>
      </c>
      <c r="I27" s="9" t="n">
        <v>100</v>
      </c>
      <c r="J27" s="6" t="n">
        <v>58539.06</v>
      </c>
      <c r="K27" s="6" t="n">
        <v>58539.06</v>
      </c>
      <c r="L27" t="n">
        <v>1</v>
      </c>
    </row>
    <row r="28">
      <c r="A28" t="inlineStr">
        <is>
          <t>R025</t>
        </is>
      </c>
      <c r="B28" t="inlineStr">
        <is>
          <t>Devon Kim</t>
        </is>
      </c>
      <c r="C28" t="inlineStr">
        <is>
          <t>Midwest</t>
        </is>
      </c>
      <c r="D28" t="inlineStr">
        <is>
          <t>Mid</t>
        </is>
      </c>
      <c r="E28" t="n">
        <v>8</v>
      </c>
      <c r="F28" s="7" t="n">
        <v>1.066</v>
      </c>
      <c r="G28" s="7" t="n">
        <v>0.75</v>
      </c>
      <c r="H28" s="5" t="n">
        <v>0.75</v>
      </c>
      <c r="I28" s="9" t="n">
        <v>100</v>
      </c>
      <c r="J28" s="6" t="n">
        <v>83695.38</v>
      </c>
      <c r="K28" s="6" t="n">
        <v>62771.54</v>
      </c>
      <c r="L28" t="n">
        <v>1</v>
      </c>
    </row>
    <row r="29">
      <c r="A29" t="inlineStr">
        <is>
          <t>R026</t>
        </is>
      </c>
      <c r="B29" t="inlineStr">
        <is>
          <t>Morgan Baker</t>
        </is>
      </c>
      <c r="C29" t="inlineStr">
        <is>
          <t>West</t>
        </is>
      </c>
      <c r="D29" t="inlineStr">
        <is>
          <t>Senior</t>
        </is>
      </c>
      <c r="E29" t="n">
        <v>10</v>
      </c>
      <c r="F29" s="7" t="n">
        <v>1.327</v>
      </c>
      <c r="G29" s="7" t="n">
        <v>0.75</v>
      </c>
      <c r="H29" s="5" t="n">
        <v>0.75</v>
      </c>
      <c r="I29" s="9" t="n">
        <v>100</v>
      </c>
      <c r="J29" s="6" t="n">
        <v>113464.71</v>
      </c>
      <c r="K29" s="6" t="n">
        <v>85098.53</v>
      </c>
      <c r="L29" t="n">
        <v>1</v>
      </c>
    </row>
    <row r="30">
      <c r="A30" t="inlineStr">
        <is>
          <t>R027</t>
        </is>
      </c>
      <c r="B30" t="inlineStr">
        <is>
          <t>Remy Anderson</t>
        </is>
      </c>
      <c r="C30" t="inlineStr">
        <is>
          <t>Northeast</t>
        </is>
      </c>
      <c r="D30" t="inlineStr">
        <is>
          <t>Senior</t>
        </is>
      </c>
      <c r="E30" t="n">
        <v>11</v>
      </c>
      <c r="F30" s="7" t="n">
        <v>1.38</v>
      </c>
      <c r="G30" s="7" t="n">
        <v>0.5</v>
      </c>
      <c r="H30" s="5" t="n">
        <v>0.5</v>
      </c>
      <c r="I30" s="9" t="n">
        <v>100</v>
      </c>
      <c r="J30" s="6" t="n">
        <v>109400.42</v>
      </c>
      <c r="K30" s="6" t="n">
        <v>54700.21</v>
      </c>
      <c r="L30" t="n">
        <v>3</v>
      </c>
    </row>
    <row r="31">
      <c r="A31" t="inlineStr">
        <is>
          <t>R028</t>
        </is>
      </c>
      <c r="B31" t="inlineStr">
        <is>
          <t>Peyton Thomas</t>
        </is>
      </c>
      <c r="C31" t="inlineStr">
        <is>
          <t>Northwest</t>
        </is>
      </c>
      <c r="D31" t="inlineStr">
        <is>
          <t>Mid</t>
        </is>
      </c>
      <c r="E31" t="n">
        <v>1</v>
      </c>
      <c r="F31" s="7" t="n">
        <v>1.026</v>
      </c>
      <c r="G31" s="7" t="n">
        <v>0.75</v>
      </c>
      <c r="H31" s="5" t="n">
        <v>0.75</v>
      </c>
      <c r="I31" s="9" t="n">
        <v>100</v>
      </c>
      <c r="J31" s="6" t="n">
        <v>77947.31</v>
      </c>
      <c r="K31" s="6" t="n">
        <v>58460.48</v>
      </c>
      <c r="L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3" customWidth="1" min="3" max="3"/>
    <col width="10" customWidth="1" min="4" max="4"/>
  </cols>
  <sheetData>
    <row r="1">
      <c r="A1" s="1" t="inlineStr">
        <is>
          <t>Optimized LP vs. Baseline (Status Quo)</t>
        </is>
      </c>
    </row>
    <row r="3">
      <c r="A3" s="4" t="inlineStr">
        <is>
          <t>Metric</t>
        </is>
      </c>
      <c r="B3" s="4" t="inlineStr">
        <is>
          <t>Optimized (LP)</t>
        </is>
      </c>
      <c r="C3" s="4" t="inlineStr">
        <is>
          <t>Baseline (Status Quo)</t>
        </is>
      </c>
      <c r="D3" s="4" t="inlineStr">
        <is>
          <t>% Change</t>
        </is>
      </c>
    </row>
    <row r="4">
      <c r="A4" t="inlineStr">
        <is>
          <t>Total Revenue ($)</t>
        </is>
      </c>
      <c r="B4" s="11" t="n">
        <v>7646016.862315493</v>
      </c>
      <c r="C4" s="11" t="n">
        <v>4658009.436993367</v>
      </c>
      <c r="D4" s="12" t="n">
        <v>64.15000000000001</v>
      </c>
    </row>
    <row r="5">
      <c r="A5" t="inlineStr">
        <is>
          <t>Total Cost ($)</t>
        </is>
      </c>
      <c r="B5" s="11" t="n">
        <v>2054029.2825</v>
      </c>
      <c r="C5" s="11" t="n">
        <v>2054029.2825</v>
      </c>
      <c r="D5" s="12" t="n">
        <v>-0</v>
      </c>
    </row>
    <row r="6">
      <c r="A6" t="inlineStr">
        <is>
          <t>Net Revenue ($)</t>
        </is>
      </c>
      <c r="B6" s="11" t="n">
        <v>5591987.579815493</v>
      </c>
      <c r="C6" s="11" t="n">
        <v>2603980.154493367</v>
      </c>
      <c r="D6" s="12" t="n">
        <v>114.75</v>
      </c>
    </row>
    <row r="7">
      <c r="A7" t="inlineStr">
        <is>
          <t>Avg Territory Coverage (%)</t>
        </is>
      </c>
      <c r="B7" s="11" t="n">
        <v>82.78309859154929</v>
      </c>
      <c r="C7" s="11" t="n">
        <v>52.93347098730167</v>
      </c>
      <c r="D7" s="12" t="n">
        <v>56.39</v>
      </c>
    </row>
    <row r="8">
      <c r="A8" t="inlineStr">
        <is>
          <t>Avg Rep Utilization (%)</t>
        </is>
      </c>
      <c r="B8" s="11" t="n">
        <v>100</v>
      </c>
      <c r="C8" s="11" t="n">
        <v>100</v>
      </c>
      <c r="D8" s="12" t="n">
        <v>0</v>
      </c>
    </row>
    <row r="9">
      <c r="A9" t="inlineStr">
        <is>
          <t># Territories Meeting Min. Coverage</t>
        </is>
      </c>
      <c r="B9" s="11" t="n">
        <v>20</v>
      </c>
      <c r="C9" s="11" t="n">
        <v>8</v>
      </c>
      <c r="D9" s="12" t="n">
        <v>150</v>
      </c>
    </row>
    <row r="10">
      <c r="A10" t="inlineStr">
        <is>
          <t># Territories Fully Covered (100%)</t>
        </is>
      </c>
      <c r="B10" s="11" t="n">
        <v>10</v>
      </c>
      <c r="C10" s="11" t="n">
        <v>7</v>
      </c>
      <c r="D10" s="12" t="n">
        <v>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2026-07-31T12:00:53Z</dcterms:created>
  <dcterms:modified xsi:type="dcterms:W3CDTF">2026-07-31T12:00:53Z</dcterms:modified>
</cp:coreProperties>
</file>